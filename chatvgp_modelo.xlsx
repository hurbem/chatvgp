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stadores" sheetId="1" state="visible" r:id="rId3"/>
    <sheet name="Categorias" sheetId="2" state="visible" r:id="rId4"/>
    <sheet name="Condomínios" sheetId="3" state="visible" r:id="rId5"/>
    <sheet name="Feedback" sheetId="4" state="visible" r:id="rId6"/>
    <sheet name="Ranking" sheetId="5" state="visible" r:id="rId7"/>
    <sheet name="Guia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<sst xmlns="http://schemas.openxmlformats.org/spreadsheetml/2006/main" count="165" uniqueCount="118">
  <si>
    <t xml:space="preserve">ID</t>
  </si>
  <si>
    <t xml:space="preserve">Nome</t>
  </si>
  <si>
    <t xml:space="preserve">WhatsApp</t>
  </si>
  <si>
    <t xml:space="preserve">Categoria</t>
  </si>
  <si>
    <t xml:space="preserve">Condomínios Atende</t>
  </si>
  <si>
    <t xml:space="preserve">Status</t>
  </si>
  <si>
    <t xml:space="preserve">Data Cadastro</t>
  </si>
  <si>
    <t xml:space="preserve">Notas</t>
  </si>
  <si>
    <t xml:space="preserve">João Silva</t>
  </si>
  <si>
    <t xml:space="preserve">11999887766</t>
  </si>
  <si>
    <t xml:space="preserve">Encanaria</t>
  </si>
  <si>
    <t xml:space="preserve">Condomínio A; Condomínio B</t>
  </si>
  <si>
    <t xml:space="preserve">Ativo</t>
  </si>
  <si>
    <t xml:space="preserve">2026-01-15</t>
  </si>
  <si>
    <t xml:space="preserve">Recomendado por você</t>
  </si>
  <si>
    <t xml:space="preserve">Maria Santos</t>
  </si>
  <si>
    <t xml:space="preserve">11988776655</t>
  </si>
  <si>
    <t xml:space="preserve">Eletricista</t>
  </si>
  <si>
    <t xml:space="preserve">Condomínio A</t>
  </si>
  <si>
    <t xml:space="preserve">2026-02-01</t>
  </si>
  <si>
    <t xml:space="preserve">Carlos Oliveira</t>
  </si>
  <si>
    <t xml:space="preserve">11977665544</t>
  </si>
  <si>
    <t xml:space="preserve">Limpeza</t>
  </si>
  <si>
    <t xml:space="preserve">Condomínio B; Condomínio C</t>
  </si>
  <si>
    <t xml:space="preserve">2026-02-10</t>
  </si>
  <si>
    <t xml:space="preserve">Descrição</t>
  </si>
  <si>
    <t xml:space="preserve">Consertos hidráulicos, tubulação</t>
  </si>
  <si>
    <t xml:space="preserve">Instalação e consertos elétricos</t>
  </si>
  <si>
    <t xml:space="preserve">Limpeza residencial e comercial</t>
  </si>
  <si>
    <t xml:space="preserve">Pintura</t>
  </si>
  <si>
    <t xml:space="preserve">Pintura de imóveis</t>
  </si>
  <si>
    <t xml:space="preserve">Manutenção</t>
  </si>
  <si>
    <t xml:space="preserve">Manutenção geral</t>
  </si>
  <si>
    <t xml:space="preserve">Nome Condomínio</t>
  </si>
  <si>
    <t xml:space="preserve">Cidade</t>
  </si>
  <si>
    <t xml:space="preserve">Vargem Grande Paulista</t>
  </si>
  <si>
    <t xml:space="preserve">Condomínio B</t>
  </si>
  <si>
    <t xml:space="preserve">Condomínio C</t>
  </si>
  <si>
    <t xml:space="preserve">Cotia</t>
  </si>
  <si>
    <t xml:space="preserve">Data</t>
  </si>
  <si>
    <t xml:space="preserve">Prestador ID</t>
  </si>
  <si>
    <t xml:space="preserve">Prestador Nome</t>
  </si>
  <si>
    <t xml:space="preserve">Condomínio</t>
  </si>
  <si>
    <t xml:space="preserve">Qualidade (1-5)</t>
  </si>
  <si>
    <t xml:space="preserve">Material: Estimativa</t>
  </si>
  <si>
    <t xml:space="preserve">Prazo: Manteve?</t>
  </si>
  <si>
    <t xml:space="preserve">Custo: Manteve?</t>
  </si>
  <si>
    <t xml:space="preserve">Observações</t>
  </si>
  <si>
    <t xml:space="preserve">Seu Feedback?</t>
  </si>
  <si>
    <t xml:space="preserve">2026-02-15</t>
  </si>
  <si>
    <t xml:space="preserve">Acertou</t>
  </si>
  <si>
    <t xml:space="preserve">Sim</t>
  </si>
  <si>
    <t xml:space="preserve">Serviço excelente, material estimado corretamente</t>
  </si>
  <si>
    <t xml:space="preserve">2026-02-18</t>
  </si>
  <si>
    <t xml:space="preserve">Subestimou 25%</t>
  </si>
  <si>
    <t xml:space="preserve">Não</t>
  </si>
  <si>
    <t xml:space="preserve">Bom trabalho, mas precisou de mais material, custo +R$200</t>
  </si>
  <si>
    <t xml:space="preserve">2026-02-20</t>
  </si>
  <si>
    <t xml:space="preserve">Resolveu rápido, material bem estimado</t>
  </si>
  <si>
    <t xml:space="preserve">2026-02-22</t>
  </si>
  <si>
    <t xml:space="preserve">Subestimou 50%</t>
  </si>
  <si>
    <t xml:space="preserve">Inicialmente subestimou material em 50%, atraso de 2 dias, custo extra de R$150</t>
  </si>
  <si>
    <t xml:space="preserve">LEGENDA - Coluna "Material: Estimativa"</t>
  </si>
  <si>
    <t xml:space="preserve">Material estimado corretamente, sem surpresas</t>
  </si>
  <si>
    <t xml:space="preserve">Subestimou 10-25%</t>
  </si>
  <si>
    <t xml:space="preserve">Precisou de um pouco mais de material</t>
  </si>
  <si>
    <t xml:space="preserve">Subestimou 25-50%</t>
  </si>
  <si>
    <t xml:space="preserve">Precisou de significativamente mais material</t>
  </si>
  <si>
    <t xml:space="preserve">Subestimou &gt;50%</t>
  </si>
  <si>
    <t xml:space="preserve">Precisou de muito mais material (problema sério)</t>
  </si>
  <si>
    <t xml:space="preserve">COMO PREENCHER</t>
  </si>
  <si>
    <t xml:space="preserve">• Qualidade: Escala 1-5 (qualidade geral do serviço)</t>
  </si>
  <si>
    <t xml:space="preserve">• Material: Use valores da legenda (Acertou / Subestimou X%)</t>
  </si>
  <si>
    <t xml:space="preserve">• Prazo: "Sim" entregou no prazo, "Não" atrasou</t>
  </si>
  <si>
    <t xml:space="preserve">• Custo: "Sim" manteve valor, "Não" teve variação</t>
  </si>
  <si>
    <t xml:space="preserve">• Observações: Detalhes (dias de atraso, custo extra, etc)</t>
  </si>
  <si>
    <t xml:space="preserve">• Seu Feedback: "Sim" se vivenciou; "Não" se é feedback de cliente</t>
  </si>
  <si>
    <t xml:space="preserve">Prestador</t>
  </si>
  <si>
    <t xml:space="preserve">Qtd Feedbacks</t>
  </si>
  <si>
    <t xml:space="preserve">Qualidade Média</t>
  </si>
  <si>
    <t xml:space="preserve">Material Acertou %</t>
  </si>
  <si>
    <t xml:space="preserve">Prazo Cumprido %</t>
  </si>
  <si>
    <t xml:space="preserve">Custo Mantido %</t>
  </si>
  <si>
    <t xml:space="preserve">Score Material</t>
  </si>
  <si>
    <t xml:space="preserve">Score Prazo</t>
  </si>
  <si>
    <t xml:space="preserve">Score Custo</t>
  </si>
  <si>
    <t xml:space="preserve">Score Qualidade</t>
  </si>
  <si>
    <t xml:space="preserve">SCORE FINAL</t>
  </si>
  <si>
    <t xml:space="preserve">Posição</t>
  </si>
  <si>
    <t xml:space="preserve">FÓRMULA DO SCORE FINAL</t>
  </si>
  <si>
    <t xml:space="preserve">• Score Material: % de feedbacks com "Acertou" × 2 pontos</t>
  </si>
  <si>
    <t xml:space="preserve">• Score Prazo: % de feedbacks com "Sim" em Prazo × 1.5 pontos</t>
  </si>
  <si>
    <t xml:space="preserve">• Score Custo: % de feedbacks com "Sim" em Custo × 1.5 pontos</t>
  </si>
  <si>
    <t xml:space="preserve">• Score Qualidade: Média das notas (1-5) × 1 ponto</t>
  </si>
  <si>
    <t xml:space="preserve">• SCORE FINAL: Soma de todos os scores (máximo: ~10 pontos)</t>
  </si>
  <si>
    <t xml:space="preserve">Interpretação:</t>
  </si>
  <si>
    <t xml:space="preserve">• Score &gt; 8: Excelente (confiável em tudo)</t>
  </si>
  <si>
    <t xml:space="preserve">• Score 6-8: Bom (seguro, poucos problemas)</t>
  </si>
  <si>
    <t xml:space="preserve">• Score 4-6: Regular (alguns riscos)</t>
  </si>
  <si>
    <t xml:space="preserve">• Score &lt; 4: Risco (muitos problemas)</t>
  </si>
  <si>
    <t xml:space="preserve">COMO USAR ESTE MODELO</t>
  </si>
  <si>
    <t xml:space="preserve">1. PRESTADORES</t>
  </si>
  <si>
    <t xml:space="preserve">   • Preencha a lista de prestadores que você já usa ou vai cadastrar</t>
  </si>
  <si>
    <t xml:space="preserve">   • WhatsApp: número completo (ex: 11999887766)</t>
  </si>
  <si>
    <t xml:space="preserve">   • Categoria: escolha entre as opções em "Categorias"</t>
  </si>
  <si>
    <t xml:space="preserve">   • Status: Ativo ou Inativo</t>
  </si>
  <si>
    <t xml:space="preserve">2. FEEDBACK</t>
  </si>
  <si>
    <t xml:space="preserve">   • Preencha com feedbacks que você recebe (de usuários e seu próprio)</t>
  </si>
  <si>
    <t xml:space="preserve">   • Nota: escala 1-5 (5 = excelente)</t>
  </si>
  <si>
    <t xml:space="preserve">   • "Seu Feedback?": marque "Sim" se você foi quem usou o serviço</t>
  </si>
  <si>
    <t xml:space="preserve">3. RANKING</t>
  </si>
  <si>
    <t xml:space="preserve">   • Calcula automaticamente: nota média, quantidade de feedbacks, seu score</t>
  </si>
  <si>
    <t xml:space="preserve">   • Score Final = (Nota Média × 70%) + (Seu Feedback × 30%)</t>
  </si>
  <si>
    <t xml:space="preserve">   • Quanto maior o Score, melhor a posição</t>
  </si>
  <si>
    <t xml:space="preserve">4. LÓGICA DE RECOMENDAÇÃO</t>
  </si>
  <si>
    <t xml:space="preserve">   • Quando cliente pergunta "preciso de encanador em Condomínio A"</t>
  </si>
  <si>
    <t xml:space="preserve">   • O chat sugere prestadores de Encanaria com Score &gt; 3.5 naquele condomínio</t>
  </si>
  <si>
    <t xml:space="preserve">   • Ordenação: Score Final (maior primeiro)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</si>
</sst>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11"/>
      <color rgb="FFED7D31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9"/>
      <color rgb="FFFFFFFF"/>
      <name val="Cambria"/>
      <family val="0"/>
      <charset val="1"/>
    </font>
    <font>
      <b val="true"/>
      <sz val="11"/>
      <color rgb="FFA349A4"/>
      <name val="Cambria"/>
      <family val="0"/>
      <charset val="1"/>
    </font>
    <font>
      <b val="true"/>
      <sz val="14"/>
      <color rgb="FF1F4E78"/>
      <name val="Cambria"/>
      <family val="0"/>
      <charset val="1"/>
    </font>
    <font>
      <b val="true"/>
      <sz val="12"/>
      <color rgb="FF70AD47"/>
      <name val="Cambria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70AD47"/>
        <bgColor rgb="FF339966"/>
      </patternFill>
    </fill>
    <fill>
      <patternFill patternType="solid">
        <fgColor rgb="FF4472C4"/>
        <bgColor rgb="FF666699"/>
      </patternFill>
    </fill>
    <fill>
      <patternFill patternType="solid">
        <fgColor rgb="FFED7D31"/>
        <bgColor rgb="FFFF8080"/>
      </patternFill>
    </fill>
    <fill>
      <patternFill patternType="solid">
        <fgColor rgb="FFFFF2CC"/>
        <bgColor rgb="FFE2EFDA"/>
      </patternFill>
    </fill>
    <fill>
      <patternFill patternType="solid">
        <fgColor rgb="FFA349A4"/>
        <bgColor rgb="FF993366"/>
      </patternFill>
    </fill>
    <fill>
      <patternFill patternType="solid">
        <fgColor rgb="FFE2EFDA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3D3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8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A349A4"/>
      <rgbColor rgb="FFFFF2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2"/>
    <col collapsed="false" customWidth="true" hidden="false" outlineLevel="0" max="3" min="3" style="1" width="18"/>
    <col collapsed="false" customWidth="true" hidden="false" outlineLevel="0" max="4" min="4" style="1" width="15"/>
    <col collapsed="false" customWidth="true" hidden="false" outlineLevel="0" max="5" min="5" style="1" width="22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8" min="8" style="1" width="20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5" hidden="false" customHeight="true" outlineLevel="0" collapsed="false">
      <c r="A2" s="3" t="n">
        <v>1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</row>
    <row r="3" customFormat="false" ht="15" hidden="false" customHeight="true" outlineLevel="0" collapsed="false">
      <c r="A3" s="3" t="n">
        <v>2</v>
      </c>
      <c r="B3" s="4" t="s">
        <v>15</v>
      </c>
      <c r="C3" s="4" t="s">
        <v>16</v>
      </c>
      <c r="D3" s="4" t="s">
        <v>17</v>
      </c>
      <c r="E3" s="4" t="s">
        <v>18</v>
      </c>
      <c r="F3" s="4" t="s">
        <v>12</v>
      </c>
      <c r="G3" s="4" t="s">
        <v>19</v>
      </c>
      <c r="H3" s="4"/>
    </row>
    <row r="4" customFormat="false" ht="15" hidden="false" customHeight="true" outlineLevel="0" collapsed="false">
      <c r="A4" s="3" t="n">
        <v>3</v>
      </c>
      <c r="B4" s="4" t="s">
        <v>20</v>
      </c>
      <c r="C4" s="4" t="s">
        <v>21</v>
      </c>
      <c r="D4" s="4" t="s">
        <v>22</v>
      </c>
      <c r="E4" s="4" t="s">
        <v>23</v>
      </c>
      <c r="F4" s="4" t="s">
        <v>12</v>
      </c>
      <c r="G4" s="4" t="s">
        <v>24</v>
      </c>
      <c r="H4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8"/>
    <col collapsed="false" customWidth="true" hidden="false" outlineLevel="0" max="3" min="3" style="1" width="30"/>
  </cols>
  <sheetData>
    <row r="1" customFormat="false" ht="15" hidden="false" customHeight="true" outlineLevel="0" collapsed="false">
      <c r="A1" s="5" t="s">
        <v>0</v>
      </c>
      <c r="B1" s="5" t="s">
        <v>3</v>
      </c>
      <c r="C1" s="5" t="s">
        <v>25</v>
      </c>
    </row>
    <row r="2" customFormat="false" ht="15" hidden="false" customHeight="true" outlineLevel="0" collapsed="false">
      <c r="A2" s="6" t="n">
        <v>1</v>
      </c>
      <c r="B2" s="6" t="s">
        <v>10</v>
      </c>
      <c r="C2" s="6" t="s">
        <v>26</v>
      </c>
    </row>
    <row r="3" customFormat="false" ht="15" hidden="false" customHeight="true" outlineLevel="0" collapsed="false">
      <c r="A3" s="6" t="n">
        <v>2</v>
      </c>
      <c r="B3" s="6" t="s">
        <v>17</v>
      </c>
      <c r="C3" s="6" t="s">
        <v>27</v>
      </c>
    </row>
    <row r="4" customFormat="false" ht="15" hidden="false" customHeight="true" outlineLevel="0" collapsed="false">
      <c r="A4" s="6" t="n">
        <v>3</v>
      </c>
      <c r="B4" s="6" t="s">
        <v>22</v>
      </c>
      <c r="C4" s="6" t="s">
        <v>28</v>
      </c>
    </row>
    <row r="5" customFormat="false" ht="15" hidden="false" customHeight="true" outlineLevel="0" collapsed="false">
      <c r="A5" s="6" t="n">
        <v>4</v>
      </c>
      <c r="B5" s="6" t="s">
        <v>29</v>
      </c>
      <c r="C5" s="6" t="s">
        <v>30</v>
      </c>
    </row>
    <row r="6" customFormat="false" ht="15" hidden="false" customHeight="true" outlineLevel="0" collapsed="false">
      <c r="A6" s="6" t="n">
        <v>5</v>
      </c>
      <c r="B6" s="6" t="s">
        <v>31</v>
      </c>
      <c r="C6" s="6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5"/>
    <col collapsed="false" customWidth="true" hidden="false" outlineLevel="0" max="3" min="3" style="1" width="22"/>
  </cols>
  <sheetData>
    <row r="1" customFormat="false" ht="15" hidden="false" customHeight="true" outlineLevel="0" collapsed="false">
      <c r="A1" s="7" t="s">
        <v>0</v>
      </c>
      <c r="B1" s="7" t="s">
        <v>33</v>
      </c>
      <c r="C1" s="7" t="s">
        <v>34</v>
      </c>
    </row>
    <row r="2" customFormat="false" ht="15" hidden="false" customHeight="true" outlineLevel="0" collapsed="false">
      <c r="A2" s="6" t="n">
        <v>1</v>
      </c>
      <c r="B2" s="6" t="s">
        <v>18</v>
      </c>
      <c r="C2" s="6" t="s">
        <v>35</v>
      </c>
    </row>
    <row r="3" customFormat="false" ht="15" hidden="false" customHeight="true" outlineLevel="0" collapsed="false">
      <c r="A3" s="6" t="n">
        <v>2</v>
      </c>
      <c r="B3" s="6" t="s">
        <v>36</v>
      </c>
      <c r="C3" s="6" t="s">
        <v>35</v>
      </c>
    </row>
    <row r="4" customFormat="false" ht="15" hidden="false" customHeight="true" outlineLevel="0" collapsed="false">
      <c r="A4" s="6" t="n">
        <v>3</v>
      </c>
      <c r="B4" s="6" t="s">
        <v>37</v>
      </c>
      <c r="C4" s="6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3" min="2" style="1" width="12"/>
    <col collapsed="false" customWidth="true" hidden="false" outlineLevel="0" max="5" min="4" style="1" width="18"/>
    <col collapsed="false" customWidth="true" hidden="false" outlineLevel="0" max="6" min="6" style="1" width="15"/>
    <col collapsed="false" customWidth="true" hidden="false" outlineLevel="0" max="7" min="7" style="1" width="14"/>
    <col collapsed="false" customWidth="true" hidden="false" outlineLevel="0" max="8" min="8" style="1" width="22"/>
    <col collapsed="false" customWidth="true" hidden="false" outlineLevel="0" max="10" min="9" style="1" width="14"/>
    <col collapsed="false" customWidth="true" hidden="false" outlineLevel="0" max="11" min="11" style="1" width="30"/>
    <col collapsed="false" customWidth="true" hidden="false" outlineLevel="0" max="12" min="12" style="1" width="12"/>
  </cols>
  <sheetData>
    <row r="1" customFormat="false" ht="34.5" hidden="false" customHeight="true" outlineLevel="0" collapsed="false">
      <c r="A1" s="8" t="s">
        <v>0</v>
      </c>
      <c r="B1" s="8" t="s">
        <v>39</v>
      </c>
      <c r="C1" s="8" t="s">
        <v>40</v>
      </c>
      <c r="D1" s="8" t="s">
        <v>41</v>
      </c>
      <c r="E1" s="8" t="s">
        <v>42</v>
      </c>
      <c r="F1" s="8" t="s">
        <v>3</v>
      </c>
      <c r="G1" s="8" t="s">
        <v>43</v>
      </c>
      <c r="H1" s="8" t="s">
        <v>44</v>
      </c>
      <c r="I1" s="8" t="s">
        <v>45</v>
      </c>
      <c r="J1" s="8" t="s">
        <v>46</v>
      </c>
      <c r="K1" s="8" t="s">
        <v>47</v>
      </c>
      <c r="L1" s="8" t="s">
        <v>48</v>
      </c>
    </row>
    <row r="2" customFormat="false" ht="19.5" hidden="false" customHeight="true" outlineLevel="0" collapsed="false">
      <c r="A2" s="9" t="n">
        <v>1</v>
      </c>
      <c r="B2" s="9" t="s">
        <v>49</v>
      </c>
      <c r="C2" s="10" t="n">
        <v>1</v>
      </c>
      <c r="D2" s="10" t="s">
        <v>8</v>
      </c>
      <c r="E2" s="10" t="s">
        <v>18</v>
      </c>
      <c r="F2" s="10" t="s">
        <v>10</v>
      </c>
      <c r="G2" s="10" t="n">
        <v>5</v>
      </c>
      <c r="H2" s="9" t="s">
        <v>50</v>
      </c>
      <c r="I2" s="9" t="s">
        <v>51</v>
      </c>
      <c r="J2" s="9" t="s">
        <v>51</v>
      </c>
      <c r="K2" s="10" t="s">
        <v>52</v>
      </c>
      <c r="L2" s="9" t="s">
        <v>51</v>
      </c>
    </row>
    <row r="3" customFormat="false" ht="19.5" hidden="false" customHeight="true" outlineLevel="0" collapsed="false">
      <c r="A3" s="9" t="n">
        <v>2</v>
      </c>
      <c r="B3" s="9" t="s">
        <v>53</v>
      </c>
      <c r="C3" s="10" t="n">
        <v>2</v>
      </c>
      <c r="D3" s="10" t="s">
        <v>15</v>
      </c>
      <c r="E3" s="10" t="s">
        <v>18</v>
      </c>
      <c r="F3" s="10" t="s">
        <v>17</v>
      </c>
      <c r="G3" s="10" t="n">
        <v>4</v>
      </c>
      <c r="H3" s="9" t="s">
        <v>54</v>
      </c>
      <c r="I3" s="9" t="s">
        <v>51</v>
      </c>
      <c r="J3" s="9" t="s">
        <v>55</v>
      </c>
      <c r="K3" s="10" t="s">
        <v>56</v>
      </c>
      <c r="L3" s="9" t="s">
        <v>55</v>
      </c>
    </row>
    <row r="4" customFormat="false" ht="19.5" hidden="false" customHeight="true" outlineLevel="0" collapsed="false">
      <c r="A4" s="9" t="n">
        <v>3</v>
      </c>
      <c r="B4" s="9" t="s">
        <v>57</v>
      </c>
      <c r="C4" s="10" t="n">
        <v>1</v>
      </c>
      <c r="D4" s="10" t="s">
        <v>8</v>
      </c>
      <c r="E4" s="10" t="s">
        <v>36</v>
      </c>
      <c r="F4" s="10" t="s">
        <v>10</v>
      </c>
      <c r="G4" s="10" t="n">
        <v>4</v>
      </c>
      <c r="H4" s="9" t="s">
        <v>50</v>
      </c>
      <c r="I4" s="9" t="s">
        <v>51</v>
      </c>
      <c r="J4" s="9" t="s">
        <v>51</v>
      </c>
      <c r="K4" s="10" t="s">
        <v>58</v>
      </c>
      <c r="L4" s="9" t="s">
        <v>51</v>
      </c>
    </row>
    <row r="5" customFormat="false" ht="19.5" hidden="false" customHeight="true" outlineLevel="0" collapsed="false">
      <c r="A5" s="9" t="n">
        <v>4</v>
      </c>
      <c r="B5" s="9" t="s">
        <v>59</v>
      </c>
      <c r="C5" s="10" t="n">
        <v>3</v>
      </c>
      <c r="D5" s="10" t="s">
        <v>20</v>
      </c>
      <c r="E5" s="10" t="s">
        <v>36</v>
      </c>
      <c r="F5" s="10" t="s">
        <v>22</v>
      </c>
      <c r="G5" s="10" t="n">
        <v>3</v>
      </c>
      <c r="H5" s="9" t="s">
        <v>60</v>
      </c>
      <c r="I5" s="9" t="s">
        <v>55</v>
      </c>
      <c r="J5" s="9" t="s">
        <v>55</v>
      </c>
      <c r="K5" s="10" t="s">
        <v>61</v>
      </c>
      <c r="L5" s="9" t="s">
        <v>51</v>
      </c>
    </row>
    <row r="14" customFormat="false" ht="15" hidden="false" customHeight="true" outlineLevel="0" collapsed="false">
      <c r="A14" s="11" t="s">
        <v>62</v>
      </c>
    </row>
    <row r="15" customFormat="false" ht="18" hidden="false" customHeight="true" outlineLevel="0" collapsed="false">
      <c r="A15" s="12" t="s">
        <v>50</v>
      </c>
      <c r="B15" s="13" t="s">
        <v>63</v>
      </c>
    </row>
    <row r="16" customFormat="false" ht="18" hidden="false" customHeight="true" outlineLevel="0" collapsed="false">
      <c r="A16" s="12" t="s">
        <v>64</v>
      </c>
      <c r="B16" s="13" t="s">
        <v>65</v>
      </c>
    </row>
    <row r="17" customFormat="false" ht="18" hidden="false" customHeight="true" outlineLevel="0" collapsed="false">
      <c r="A17" s="12" t="s">
        <v>66</v>
      </c>
      <c r="B17" s="13" t="s">
        <v>67</v>
      </c>
    </row>
    <row r="18" customFormat="false" ht="18" hidden="false" customHeight="true" outlineLevel="0" collapsed="false">
      <c r="A18" s="12" t="s">
        <v>68</v>
      </c>
      <c r="B18" s="13" t="s">
        <v>69</v>
      </c>
    </row>
    <row r="20" customFormat="false" ht="15" hidden="false" customHeight="true" outlineLevel="0" collapsed="false">
      <c r="A20" s="11" t="s">
        <v>70</v>
      </c>
    </row>
    <row r="21" customFormat="false" ht="18" hidden="false" customHeight="true" outlineLevel="0" collapsed="false">
      <c r="A21" s="13" t="s">
        <v>71</v>
      </c>
    </row>
    <row r="22" customFormat="false" ht="18" hidden="false" customHeight="true" outlineLevel="0" collapsed="false">
      <c r="A22" s="13" t="s">
        <v>72</v>
      </c>
    </row>
    <row r="23" customFormat="false" ht="18" hidden="false" customHeight="true" outlineLevel="0" collapsed="false">
      <c r="A23" s="13" t="s">
        <v>73</v>
      </c>
    </row>
    <row r="24" customFormat="false" ht="18" hidden="false" customHeight="true" outlineLevel="0" collapsed="false">
      <c r="A24" s="13" t="s">
        <v>74</v>
      </c>
    </row>
    <row r="25" customFormat="false" ht="18" hidden="false" customHeight="true" outlineLevel="0" collapsed="false">
      <c r="A25" s="13" t="s">
        <v>75</v>
      </c>
    </row>
    <row r="26" customFormat="false" ht="18" hidden="false" customHeight="true" outlineLevel="0" collapsed="false">
      <c r="A26" s="13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8" min="6" style="0" width="16"/>
    <col collapsed="false" customWidth="true" hidden="false" outlineLevel="0" max="9" min="9" style="0" width="14"/>
    <col collapsed="false" customWidth="true" hidden="false" outlineLevel="0" max="11" min="10" style="0" width="12"/>
    <col collapsed="false" customWidth="true" hidden="false" outlineLevel="0" max="12" min="12" style="0" width="14"/>
    <col collapsed="false" customWidth="true" hidden="false" outlineLevel="0" max="13" min="13" style="0" width="13"/>
    <col collapsed="false" customWidth="true" hidden="false" outlineLevel="0" max="14" min="14" style="0" width="10"/>
  </cols>
  <sheetData>
    <row r="1" customFormat="false" ht="34.5" hidden="false" customHeight="true" outlineLevel="0" collapsed="false">
      <c r="A1" s="14" t="s">
        <v>77</v>
      </c>
      <c r="B1" s="14" t="s">
        <v>3</v>
      </c>
      <c r="C1" s="14" t="s">
        <v>42</v>
      </c>
      <c r="D1" s="14" t="s">
        <v>78</v>
      </c>
      <c r="E1" s="14" t="s">
        <v>79</v>
      </c>
      <c r="F1" s="14" t="s">
        <v>80</v>
      </c>
      <c r="G1" s="14" t="s">
        <v>81</v>
      </c>
      <c r="H1" s="14" t="s">
        <v>82</v>
      </c>
      <c r="I1" s="14" t="s">
        <v>83</v>
      </c>
      <c r="J1" s="14" t="s">
        <v>84</v>
      </c>
      <c r="K1" s="14" t="s">
        <v>85</v>
      </c>
      <c r="L1" s="14" t="s">
        <v>86</v>
      </c>
      <c r="M1" s="14" t="s">
        <v>87</v>
      </c>
      <c r="N1" s="14" t="s">
        <v>88</v>
      </c>
    </row>
    <row r="2" customFormat="false" ht="15" hidden="false" customHeight="false" outlineLevel="0" collapsed="false">
      <c r="A2" s="4" t="s">
        <v>8</v>
      </c>
      <c r="B2" s="4" t="s">
        <v>10</v>
      </c>
      <c r="C2" s="4" t="s">
        <v>18</v>
      </c>
      <c r="D2" s="3" t="n">
        <f aca="false">IFERROR(COUNTIFS(Feedback!$D:$D,A2,Feedback!$E:$E,C2),0)</f>
        <v>1</v>
      </c>
      <c r="E2" s="15" t="n">
        <f aca="false">IFERROR(AVERAGEIFS(Feedback!$G:$G,Feedback!$D:$D,A2,Feedback!$E:$E,C2),"-")</f>
        <v>5</v>
      </c>
      <c r="F2" s="16" t="n">
        <f aca="false">IFERROR(IF(D2=0,"-",COUNTIFS(Feedback!$D:$D,A2,Feedback!$E:$E,C2,Feedback!$H:$H,"Acertou")/D2),"-")</f>
        <v>1</v>
      </c>
      <c r="G2" s="16" t="n">
        <f aca="false">IFERROR(IF(D2=0,"-",COUNTIFS(Feedback!$D:$D,A2,Feedback!$E:$E,C2,Feedback!$I:$I,"Sim")/D2),"-")</f>
        <v>1</v>
      </c>
      <c r="H2" s="16" t="n">
        <f aca="false">IFERROR(IF(D2=0,"-",COUNTIFS(Feedback!$D:$D,A2,Feedback!$E:$E,C2,Feedback!$J:$J,"Sim")/D2),"-")</f>
        <v>1</v>
      </c>
      <c r="I2" s="15" t="n">
        <f aca="false">IFERROR(IF(ISNUMBER(F2),F2*2,0),0)</f>
        <v>2</v>
      </c>
      <c r="J2" s="15" t="n">
        <f aca="false">IFERROR(IF(ISNUMBER(G2),G2*1.5,0),0)</f>
        <v>1.5</v>
      </c>
      <c r="K2" s="15" t="n">
        <f aca="false">IFERROR(IF(ISNUMBER(H2),H2*1.5,0),0)</f>
        <v>1.5</v>
      </c>
      <c r="L2" s="15" t="n">
        <f aca="false">IFERROR(IF(ISNUMBER(E2),E2,0),0)</f>
        <v>5</v>
      </c>
      <c r="M2" s="17" t="n">
        <f aca="false">I2+J2+K2+L2</f>
        <v>10</v>
      </c>
      <c r="N2" s="3" t="n">
        <f aca="false">IFERROR(RANK(M2,$M$2:$M$100,0),"-")</f>
        <v>1</v>
      </c>
    </row>
    <row r="3" customFormat="false" ht="15" hidden="false" customHeight="false" outlineLevel="0" collapsed="false">
      <c r="A3" s="4" t="s">
        <v>15</v>
      </c>
      <c r="B3" s="4" t="s">
        <v>17</v>
      </c>
      <c r="C3" s="4" t="s">
        <v>18</v>
      </c>
      <c r="D3" s="3" t="n">
        <f aca="false">IFERROR(COUNTIFS(Feedback!$D:$D,A3,Feedback!$E:$E,C3),0)</f>
        <v>1</v>
      </c>
      <c r="E3" s="15" t="n">
        <f aca="false">IFERROR(AVERAGEIFS(Feedback!$G:$G,Feedback!$D:$D,A3,Feedback!$E:$E,C3),"-")</f>
        <v>4</v>
      </c>
      <c r="F3" s="16" t="n">
        <f aca="false">IFERROR(IF(D3=0,"-",COUNTIFS(Feedback!$D:$D,A3,Feedback!$E:$E,C3,Feedback!$H:$H,"Acertou")/D3),"-")</f>
        <v>0</v>
      </c>
      <c r="G3" s="16" t="n">
        <f aca="false">IFERROR(IF(D3=0,"-",COUNTIFS(Feedback!$D:$D,A3,Feedback!$E:$E,C3,Feedback!$I:$I,"Sim")/D3),"-")</f>
        <v>1</v>
      </c>
      <c r="H3" s="16" t="n">
        <f aca="false">IFERROR(IF(D3=0,"-",COUNTIFS(Feedback!$D:$D,A3,Feedback!$E:$E,C3,Feedback!$J:$J,"Sim")/D3),"-")</f>
        <v>0</v>
      </c>
      <c r="I3" s="15" t="n">
        <f aca="false">IFERROR(IF(ISNUMBER(F3),F3*2,0),0)</f>
        <v>0</v>
      </c>
      <c r="J3" s="15" t="n">
        <f aca="false">IFERROR(IF(ISNUMBER(G3),G3*1.5,0),0)</f>
        <v>1.5</v>
      </c>
      <c r="K3" s="15" t="n">
        <f aca="false">IFERROR(IF(ISNUMBER(H3),H3*1.5,0),0)</f>
        <v>0</v>
      </c>
      <c r="L3" s="15" t="n">
        <f aca="false">IFERROR(IF(ISNUMBER(E3),E3,0),0)</f>
        <v>4</v>
      </c>
      <c r="M3" s="17" t="n">
        <f aca="false">I3+J3+K3+L3</f>
        <v>5.5</v>
      </c>
      <c r="N3" s="3" t="n">
        <f aca="false">IFERROR(RANK(M3,$M$2:$M$100,0),"-")</f>
        <v>2</v>
      </c>
    </row>
    <row r="4" customFormat="false" ht="15" hidden="false" customHeight="false" outlineLevel="0" collapsed="false">
      <c r="A4" s="4" t="s">
        <v>20</v>
      </c>
      <c r="B4" s="4" t="s">
        <v>22</v>
      </c>
      <c r="C4" s="4" t="s">
        <v>36</v>
      </c>
      <c r="D4" s="3" t="n">
        <f aca="false">IFERROR(COUNTIFS(Feedback!$D:$D,A4,Feedback!$E:$E,C4),0)</f>
        <v>1</v>
      </c>
      <c r="E4" s="15" t="n">
        <f aca="false">IFERROR(AVERAGEIFS(Feedback!$G:$G,Feedback!$D:$D,A4,Feedback!$E:$E,C4),"-")</f>
        <v>3</v>
      </c>
      <c r="F4" s="16" t="n">
        <f aca="false">IFERROR(IF(D4=0,"-",COUNTIFS(Feedback!$D:$D,A4,Feedback!$E:$E,C4,Feedback!$H:$H,"Acertou")/D4),"-")</f>
        <v>0</v>
      </c>
      <c r="G4" s="16" t="n">
        <f aca="false">IFERROR(IF(D4=0,"-",COUNTIFS(Feedback!$D:$D,A4,Feedback!$E:$E,C4,Feedback!$I:$I,"Sim")/D4),"-")</f>
        <v>0</v>
      </c>
      <c r="H4" s="16" t="n">
        <f aca="false">IFERROR(IF(D4=0,"-",COUNTIFS(Feedback!$D:$D,A4,Feedback!$E:$E,C4,Feedback!$J:$J,"Sim")/D4),"-")</f>
        <v>0</v>
      </c>
      <c r="I4" s="15" t="n">
        <f aca="false">IFERROR(IF(ISNUMBER(F4),F4*2,0),0)</f>
        <v>0</v>
      </c>
      <c r="J4" s="15" t="n">
        <f aca="false">IFERROR(IF(ISNUMBER(G4),G4*1.5,0),0)</f>
        <v>0</v>
      </c>
      <c r="K4" s="15" t="n">
        <f aca="false">IFERROR(IF(ISNUMBER(H4),H4*1.5,0),0)</f>
        <v>0</v>
      </c>
      <c r="L4" s="15" t="n">
        <f aca="false">IFERROR(IF(ISNUMBER(E4),E4,0),0)</f>
        <v>3</v>
      </c>
      <c r="M4" s="17" t="n">
        <f aca="false">I4+J4+K4+L4</f>
        <v>3</v>
      </c>
      <c r="N4" s="3" t="n">
        <f aca="false">IFERROR(RANK(M4,$M$2:$M$100,0),"-")</f>
        <v>3</v>
      </c>
    </row>
    <row r="17" customFormat="false" ht="15" hidden="false" customHeight="false" outlineLevel="0" collapsed="false">
      <c r="A17" s="18" t="s">
        <v>89</v>
      </c>
    </row>
    <row r="18" customFormat="false" ht="18" hidden="false" customHeight="true" outlineLevel="0" collapsed="false">
      <c r="A18" s="13" t="s">
        <v>90</v>
      </c>
    </row>
    <row r="19" customFormat="false" ht="18" hidden="false" customHeight="true" outlineLevel="0" collapsed="false">
      <c r="A19" s="13" t="s">
        <v>91</v>
      </c>
    </row>
    <row r="20" customFormat="false" ht="18" hidden="false" customHeight="true" outlineLevel="0" collapsed="false">
      <c r="A20" s="13" t="s">
        <v>92</v>
      </c>
    </row>
    <row r="21" customFormat="false" ht="18" hidden="false" customHeight="true" outlineLevel="0" collapsed="false">
      <c r="A21" s="13" t="s">
        <v>93</v>
      </c>
    </row>
    <row r="22" customFormat="false" ht="18" hidden="false" customHeight="true" outlineLevel="0" collapsed="false">
      <c r="A22" s="13" t="s">
        <v>94</v>
      </c>
    </row>
    <row r="23" customFormat="false" ht="18" hidden="false" customHeight="true" outlineLevel="0" collapsed="false">
      <c r="A23" s="13"/>
    </row>
    <row r="24" customFormat="false" ht="18" hidden="false" customHeight="true" outlineLevel="0" collapsed="false">
      <c r="A24" s="13" t="s">
        <v>95</v>
      </c>
    </row>
    <row r="25" customFormat="false" ht="18" hidden="false" customHeight="true" outlineLevel="0" collapsed="false">
      <c r="A25" s="13" t="s">
        <v>96</v>
      </c>
    </row>
    <row r="26" customFormat="false" ht="18" hidden="false" customHeight="true" outlineLevel="0" collapsed="false">
      <c r="A26" s="13" t="s">
        <v>97</v>
      </c>
    </row>
    <row r="27" customFormat="false" ht="18" hidden="false" customHeight="true" outlineLevel="0" collapsed="false">
      <c r="A27" s="13" t="s">
        <v>98</v>
      </c>
    </row>
    <row r="28" customFormat="false" ht="18" hidden="false" customHeight="true" outlineLevel="0" collapsed="false">
      <c r="A28" s="13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0"/>
  </cols>
  <sheetData>
    <row r="1" customFormat="false" ht="15" hidden="false" customHeight="true" outlineLevel="0" collapsed="false">
      <c r="A1" s="19" t="s">
        <v>100</v>
      </c>
    </row>
    <row r="2" customFormat="false" ht="15" hidden="false" customHeight="true" outlineLevel="0" collapsed="false">
      <c r="A2" s="20"/>
    </row>
    <row r="3" customFormat="false" ht="15" hidden="false" customHeight="true" outlineLevel="0" collapsed="false">
      <c r="A3" s="21" t="s">
        <v>101</v>
      </c>
    </row>
    <row r="4" customFormat="false" ht="15" hidden="false" customHeight="true" outlineLevel="0" collapsed="false">
      <c r="A4" s="20" t="s">
        <v>102</v>
      </c>
    </row>
    <row r="5" customFormat="false" ht="15" hidden="false" customHeight="true" outlineLevel="0" collapsed="false">
      <c r="A5" s="20" t="s">
        <v>103</v>
      </c>
    </row>
    <row r="6" customFormat="false" ht="15" hidden="false" customHeight="true" outlineLevel="0" collapsed="false">
      <c r="A6" s="20" t="s">
        <v>104</v>
      </c>
    </row>
    <row r="7" customFormat="false" ht="15" hidden="false" customHeight="true" outlineLevel="0" collapsed="false">
      <c r="A7" s="20" t="s">
        <v>105</v>
      </c>
    </row>
    <row r="8" customFormat="false" ht="15" hidden="false" customHeight="true" outlineLevel="0" collapsed="false">
      <c r="A8" s="20"/>
    </row>
    <row r="9" customFormat="false" ht="15" hidden="false" customHeight="true" outlineLevel="0" collapsed="false">
      <c r="A9" s="21" t="s">
        <v>106</v>
      </c>
    </row>
    <row r="10" customFormat="false" ht="15" hidden="false" customHeight="true" outlineLevel="0" collapsed="false">
      <c r="A10" s="20" t="s">
        <v>107</v>
      </c>
    </row>
    <row r="11" customFormat="false" ht="15" hidden="false" customHeight="true" outlineLevel="0" collapsed="false">
      <c r="A11" s="20" t="s">
        <v>108</v>
      </c>
    </row>
    <row r="12" customFormat="false" ht="15" hidden="false" customHeight="true" outlineLevel="0" collapsed="false">
      <c r="A12" s="20" t="s">
        <v>109</v>
      </c>
    </row>
    <row r="13" customFormat="false" ht="15" hidden="false" customHeight="true" outlineLevel="0" collapsed="false">
      <c r="A13" s="20"/>
    </row>
    <row r="14" customFormat="false" ht="15" hidden="false" customHeight="true" outlineLevel="0" collapsed="false">
      <c r="A14" s="21" t="s">
        <v>110</v>
      </c>
    </row>
    <row r="15" customFormat="false" ht="15" hidden="false" customHeight="true" outlineLevel="0" collapsed="false">
      <c r="A15" s="20" t="s">
        <v>111</v>
      </c>
    </row>
    <row r="16" customFormat="false" ht="15" hidden="false" customHeight="true" outlineLevel="0" collapsed="false">
      <c r="A16" s="20" t="s">
        <v>112</v>
      </c>
    </row>
    <row r="17" customFormat="false" ht="15" hidden="false" customHeight="true" outlineLevel="0" collapsed="false">
      <c r="A17" s="20" t="s">
        <v>113</v>
      </c>
    </row>
    <row r="18" customFormat="false" ht="15" hidden="false" customHeight="true" outlineLevel="0" collapsed="false">
      <c r="A18" s="20"/>
    </row>
    <row r="19" customFormat="false" ht="15" hidden="false" customHeight="true" outlineLevel="0" collapsed="false">
      <c r="A19" s="21" t="s">
        <v>114</v>
      </c>
    </row>
    <row r="20" customFormat="false" ht="15" hidden="false" customHeight="true" outlineLevel="0" collapsed="false">
      <c r="A20" s="20" t="s">
        <v>115</v>
      </c>
    </row>
    <row r="21" customFormat="false" ht="15" hidden="false" customHeight="true" outlineLevel="0" collapsed="false">
      <c r="A21" s="20" t="s">
        <v>116</v>
      </c>
    </row>
    <row r="22" customFormat="false" ht="15" hidden="false" customHeight="true" outlineLevel="0" collapsed="false">
      <c r="A22" s="20" t="s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2026-06-01T20:57:09Z</dcterms:created>
  <dc:creator>openpyxl</dc:creator>
  <dc:description/>
  <dc:language>en-US</dc:language>
  <cp:lastModifiedBy/>
  <dcterms:modified xsi:type="dcterms:W3CDTF">2026-06-01T21:11:25Z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